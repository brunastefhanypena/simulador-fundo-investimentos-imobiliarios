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cursosdio\excel_curso_dio\"/>
    </mc:Choice>
  </mc:AlternateContent>
  <xr:revisionPtr revIDLastSave="0" documentId="13_ncr:1_{3DD1F030-1815-4F58-928C-1054DE118D10}" xr6:coauthVersionLast="47" xr6:coauthVersionMax="47" xr10:uidLastSave="{00000000-0000-0000-0000-000000000000}"/>
  <bookViews>
    <workbookView xWindow="-120" yWindow="-120" windowWidth="29040" windowHeight="16440" tabRatio="0" xr2:uid="{2A629E6E-8C55-4486-AE90-DAC72DFE3853}"/>
  </bookViews>
  <sheets>
    <sheet name="simulador" sheetId="1" r:id="rId1"/>
    <sheet name="apoio" sheetId="2" state="hidden" r:id="rId2"/>
  </sheets>
  <definedNames>
    <definedName name="aporte">simulador!$D$19</definedName>
    <definedName name="CENÁRIOS">simulador!$B$25:$D$30</definedName>
    <definedName name="CONFIGURAÇÕES">simulador!$B$13:$D$16</definedName>
    <definedName name="INVESTIMENTO_MENSAL">simulador!$B$18:$D$23</definedName>
    <definedName name="patrimonio">simulador!$D$22</definedName>
    <definedName name="PERFIL_DE_INVESTIDOR">simulador!$B$33:$D$44</definedName>
    <definedName name="qnt_anos">simulador!$D$20</definedName>
    <definedName name="rendimento_carteira">simulador!$D$15</definedName>
    <definedName name="salario">simulador!$D$14</definedName>
    <definedName name="sugestao_investimento">simulador!$D$16</definedName>
    <definedName name="taxa_mensal">simulador!$D$21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2" i="1" l="1"/>
  <c r="D21" i="1"/>
  <c r="C39" i="1"/>
  <c r="C40" i="1"/>
  <c r="C41" i="1"/>
  <c r="C42" i="1"/>
  <c r="C43" i="1"/>
  <c r="C38" i="1"/>
  <c r="C34" i="1"/>
  <c r="D16" i="1"/>
  <c r="C30" i="1" l="1"/>
  <c r="D30" i="1" s="1"/>
  <c r="C28" i="1"/>
  <c r="D28" i="1" s="1"/>
  <c r="D23" i="1"/>
  <c r="C29" i="1"/>
  <c r="D29" i="1" s="1"/>
  <c r="C27" i="1"/>
  <c r="D27" i="1" s="1"/>
  <c r="C26" i="1"/>
  <c r="D26" i="1" s="1"/>
  <c r="D39" i="1"/>
  <c r="D40" i="1"/>
  <c r="D41" i="1"/>
  <c r="D42" i="1"/>
  <c r="D43" i="1"/>
  <c r="D38" i="1"/>
  <c r="D44" i="1" l="1"/>
</calcChain>
</file>

<file path=xl/sharedStrings.xml><?xml version="1.0" encoding="utf-8"?>
<sst xmlns="http://schemas.openxmlformats.org/spreadsheetml/2006/main" count="87" uniqueCount="52">
  <si>
    <t>INVESTIMENTO MENSAL</t>
  </si>
  <si>
    <t>Tempo (anos)</t>
  </si>
  <si>
    <t>Valor investido por mês</t>
  </si>
  <si>
    <t>Taxa de rendimento mensal</t>
  </si>
  <si>
    <t>Patrimônio acumulado</t>
  </si>
  <si>
    <t xml:space="preserve">Dividendos mensais </t>
  </si>
  <si>
    <t>CENÁRIOS</t>
  </si>
  <si>
    <t>Patrimônio em 2 anos</t>
  </si>
  <si>
    <t>Patrimônio em 5 anos</t>
  </si>
  <si>
    <t>Patrimônio em 10 anos</t>
  </si>
  <si>
    <t>Patrimônio em 20 anos</t>
  </si>
  <si>
    <t xml:space="preserve">Patrimônio em 30 anos </t>
  </si>
  <si>
    <t>DIVIDENDOS MENSAIS</t>
  </si>
  <si>
    <t>CONFIGURAÇÕES</t>
  </si>
  <si>
    <t>Salário</t>
  </si>
  <si>
    <t>Rendimento Carteira (%)</t>
  </si>
  <si>
    <t>Sugestão de Investimento</t>
  </si>
  <si>
    <t xml:space="preserve">PERFIL DE INVESTIDOR 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</si>
  <si>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</si>
  <si>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</si>
  <si>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</si>
  <si>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</si>
  <si>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</si>
  <si>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</si>
  <si>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</si>
  <si>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</si>
  <si>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</si>
  <si>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</si>
  <si>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</si>
  <si>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PERFIL</t>
  </si>
  <si>
    <t>PERCENTUAL</t>
  </si>
  <si>
    <t>Conservador-Papel</t>
  </si>
  <si>
    <t>Conservador-Tijolo</t>
  </si>
  <si>
    <t>Conservador-Híbridos</t>
  </si>
  <si>
    <t>Conservador-FOFs</t>
  </si>
  <si>
    <t>Conservador-Desenvolvimento</t>
  </si>
  <si>
    <t>Conservador-Hotelarias</t>
  </si>
  <si>
    <t>CHAVE</t>
  </si>
  <si>
    <t>Moderado</t>
  </si>
  <si>
    <t>Moderado-Papel</t>
  </si>
  <si>
    <t>Moderado-Tijolo</t>
  </si>
  <si>
    <t>Moderado-Híbridos</t>
  </si>
  <si>
    <t>Moderado-FOFs</t>
  </si>
  <si>
    <t>Moderado-Desenvolvimento</t>
  </si>
  <si>
    <t>Moderado-Hotelarias</t>
  </si>
  <si>
    <t>Agressivo</t>
  </si>
  <si>
    <t>Agressivo-Papel</t>
  </si>
  <si>
    <t>Agressivo-Tijolo</t>
  </si>
  <si>
    <t>Agressivo-Híbridos</t>
  </si>
  <si>
    <t>Agressivo-FOFs</t>
  </si>
  <si>
    <t>Agressivo-Desenvolvimento</t>
  </si>
  <si>
    <t>Agressivo-Hotelarias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</si>
</sst>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Georgia Pro Cond Semibold"/>
      <family val="1"/>
    </font>
    <font>
      <b/>
      <sz val="14"/>
      <color theme="1"/>
      <name val="Aptos Narrow"/>
      <family val="2"/>
      <scheme val="minor"/>
    </font>
    <font>
      <b/>
      <i/>
      <sz val="14"/>
      <color theme="0"/>
      <name val="Aptos Narrow"/>
      <family val="2"/>
      <scheme val="minor"/>
    </font>
    <font>
      <b/>
      <i/>
      <sz val="16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5" borderId="15" applyNumberFormat="0" applyAlignment="0" applyProtection="0"/>
  </cellStyleXfs>
  <cellXfs count="51"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8" fontId="2" fillId="3" borderId="3" xfId="0" applyNumberFormat="1" applyFont="1" applyFill="1" applyBorder="1" applyAlignment="1">
      <alignment horizontal="center"/>
    </xf>
    <xf numFmtId="8" fontId="2" fillId="3" borderId="4" xfId="0" applyNumberFormat="1" applyFont="1" applyFill="1" applyBorder="1" applyAlignment="1">
      <alignment horizontal="center"/>
    </xf>
    <xf numFmtId="8" fontId="2" fillId="3" borderId="5" xfId="0" applyNumberFormat="1" applyFont="1" applyFill="1" applyBorder="1" applyAlignment="1">
      <alignment horizontal="center"/>
    </xf>
    <xf numFmtId="8" fontId="2" fillId="3" borderId="7" xfId="0" applyNumberFormat="1" applyFont="1" applyFill="1" applyBorder="1" applyAlignment="1">
      <alignment horizontal="center"/>
    </xf>
    <xf numFmtId="8" fontId="2" fillId="3" borderId="10" xfId="0" applyNumberFormat="1" applyFont="1" applyFill="1" applyBorder="1" applyAlignment="1">
      <alignment horizontal="center"/>
    </xf>
    <xf numFmtId="0" fontId="7" fillId="0" borderId="0" xfId="0" applyFont="1"/>
    <xf numFmtId="8" fontId="4" fillId="3" borderId="6" xfId="0" applyNumberFormat="1" applyFont="1" applyFill="1" applyBorder="1" applyAlignment="1">
      <alignment horizontal="center"/>
    </xf>
    <xf numFmtId="8" fontId="4" fillId="3" borderId="8" xfId="0" applyNumberFormat="1" applyFont="1" applyFill="1" applyBorder="1" applyAlignment="1">
      <alignment horizontal="center"/>
    </xf>
    <xf numFmtId="0" fontId="2" fillId="3" borderId="13" xfId="0" applyFont="1" applyFill="1" applyBorder="1" applyAlignment="1">
      <alignment horizontal="left" indent="3"/>
    </xf>
    <xf numFmtId="0" fontId="2" fillId="3" borderId="14" xfId="0" applyFont="1" applyFill="1" applyBorder="1" applyAlignment="1">
      <alignment horizontal="left" indent="3"/>
    </xf>
    <xf numFmtId="0" fontId="2" fillId="3" borderId="16" xfId="0" applyFont="1" applyFill="1" applyBorder="1" applyAlignment="1">
      <alignment horizontal="left" indent="3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3" borderId="21" xfId="0" applyFont="1" applyFill="1" applyBorder="1" applyAlignment="1">
      <alignment horizontal="left" vertical="center" indent="3"/>
    </xf>
    <xf numFmtId="164" fontId="2" fillId="3" borderId="22" xfId="0" applyNumberFormat="1" applyFont="1" applyFill="1" applyBorder="1"/>
    <xf numFmtId="0" fontId="9" fillId="4" borderId="22" xfId="2" applyFont="1" applyFill="1" applyBorder="1" applyAlignment="1"/>
    <xf numFmtId="164" fontId="2" fillId="3" borderId="23" xfId="0" applyNumberFormat="1" applyFont="1" applyFill="1" applyBorder="1" applyAlignment="1">
      <alignment horizontal="center"/>
    </xf>
    <xf numFmtId="0" fontId="10" fillId="4" borderId="21" xfId="2" applyFont="1" applyFill="1" applyBorder="1" applyAlignment="1">
      <alignment horizontal="left" indent="3"/>
    </xf>
    <xf numFmtId="0" fontId="10" fillId="4" borderId="23" xfId="2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8" fontId="6" fillId="6" borderId="0" xfId="0" applyNumberFormat="1" applyFont="1" applyFill="1" applyAlignment="1">
      <alignment horizontal="center"/>
    </xf>
    <xf numFmtId="9" fontId="2" fillId="0" borderId="0" xfId="1" applyFont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24" xfId="1" applyFon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2" fillId="0" borderId="6" xfId="0" applyNumberFormat="1" applyFont="1" applyBorder="1" applyAlignment="1" applyProtection="1">
      <alignment horizontal="center"/>
      <protection locked="0"/>
    </xf>
    <xf numFmtId="1" fontId="2" fillId="0" borderId="6" xfId="0" applyNumberFormat="1" applyFont="1" applyBorder="1" applyAlignment="1" applyProtection="1">
      <alignment horizontal="center"/>
      <protection locked="0"/>
    </xf>
    <xf numFmtId="10" fontId="2" fillId="0" borderId="6" xfId="1" applyNumberFormat="1" applyFont="1" applyBorder="1" applyAlignment="1" applyProtection="1">
      <alignment horizontal="center"/>
      <protection locked="0"/>
    </xf>
    <xf numFmtId="164" fontId="2" fillId="3" borderId="8" xfId="0" applyNumberFormat="1" applyFont="1" applyFill="1" applyBorder="1" applyAlignment="1">
      <alignment horizontal="center"/>
    </xf>
    <xf numFmtId="10" fontId="2" fillId="3" borderId="6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left" indent="3"/>
    </xf>
    <xf numFmtId="0" fontId="2" fillId="3" borderId="5" xfId="0" applyFont="1" applyFill="1" applyBorder="1" applyAlignment="1">
      <alignment horizontal="left" indent="3"/>
    </xf>
    <xf numFmtId="0" fontId="4" fillId="3" borderId="13" xfId="0" applyFont="1" applyFill="1" applyBorder="1" applyAlignment="1">
      <alignment horizontal="left" indent="3"/>
    </xf>
    <xf numFmtId="0" fontId="4" fillId="3" borderId="5" xfId="0" applyFont="1" applyFill="1" applyBorder="1" applyAlignment="1">
      <alignment horizontal="left" indent="3"/>
    </xf>
    <xf numFmtId="0" fontId="4" fillId="3" borderId="14" xfId="0" applyFont="1" applyFill="1" applyBorder="1" applyAlignment="1">
      <alignment horizontal="left" indent="3"/>
    </xf>
    <xf numFmtId="0" fontId="4" fillId="3" borderId="7" xfId="0" applyFont="1" applyFill="1" applyBorder="1" applyAlignment="1">
      <alignment horizontal="left" indent="3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left" indent="3"/>
    </xf>
    <xf numFmtId="0" fontId="2" fillId="3" borderId="7" xfId="0" applyFont="1" applyFill="1" applyBorder="1" applyAlignment="1">
      <alignment horizontal="left" indent="3"/>
    </xf>
  </cellXfs>
  <cellStyles count="3">
    <cellStyle name="Entrada" xfId="2" builtinId="20" customBuiltin="1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DISTRIBUIÇÃO</a:t>
            </a:r>
            <a:r>
              <a:rPr lang="en-US" b="1" baseline="0"/>
              <a:t> DE INVESTIMENTOS DE ACORDO COM O PERFIL INVESTIDOR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simulador!$C$37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86-47BF-B548-052AA374D9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86-47BF-B548-052AA374D9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86-47BF-B548-052AA374D9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86-47BF-B548-052AA374D9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86-47BF-B548-052AA374D96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486-47BF-B548-052AA374D9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simulador!$C$38:$C$43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3-49F1-A6F5-833F6EE7E5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9.4368904486818228E-2"/>
          <c:y val="9.3281195983014611E-2"/>
          <c:w val="0.23958000706711663"/>
          <c:h val="0.883694990702586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1270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630421</xdr:colOff>
      <xdr:row>2</xdr:row>
      <xdr:rowOff>119934</xdr:rowOff>
    </xdr:from>
    <xdr:to>
      <xdr:col>4</xdr:col>
      <xdr:colOff>148697</xdr:colOff>
      <xdr:row>9</xdr:row>
      <xdr:rowOff>141830</xdr:rowOff>
    </xdr:to>
    <xdr:sp macro="" textlink="" fLocksText="0">
      <xdr:nvSpPr>
        <xdr:cNvPr id="2" name="Retângulo: Cantos Arredondados 1">
          <a:extLst>
            <a:ext uri="{FF2B5EF4-FFF2-40B4-BE49-F238E27FC236}">
              <a16:creationId xmlns:a16="http://schemas.microsoft.com/office/drawing/2014/main" id="{FCB7DF8E-64D7-717D-7529-ED4697D3A444}"/>
            </a:ext>
          </a:extLst>
        </xdr:cNvPr>
        <xdr:cNvSpPr/>
      </xdr:nvSpPr>
      <xdr:spPr>
        <a:xfrm>
          <a:off x="630421" y="500934"/>
          <a:ext cx="8246640" cy="1355396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chemeClr val="bg1"/>
              </a:solidFill>
              <a:latin typeface="Georgia Pro Cond Semibold" panose="02040706050405020303" pitchFamily="18" charset="0"/>
            </a:rPr>
            <a:t>SIMULADOR</a:t>
          </a:r>
          <a:r>
            <a:rPr lang="pt-BR" sz="2800" b="1" baseline="0">
              <a:solidFill>
                <a:schemeClr val="bg1"/>
              </a:solidFill>
              <a:latin typeface="Georgia Pro Cond Semibold" panose="02040706050405020303" pitchFamily="18" charset="0"/>
            </a:rPr>
            <a:t> DE </a:t>
          </a:r>
        </a:p>
        <a:p>
          <a:pPr algn="ctr"/>
          <a:r>
            <a:rPr lang="pt-BR" sz="2800" b="1" baseline="0">
              <a:solidFill>
                <a:schemeClr val="bg1"/>
              </a:solidFill>
              <a:latin typeface="Georgia Pro Cond Semibold" panose="02040706050405020303" pitchFamily="18" charset="0"/>
            </a:rPr>
            <a:t>FUNDOS DE INVESTIMENTO IMOBILIÁRIO</a:t>
          </a:r>
        </a:p>
        <a:p>
          <a:pPr algn="ctr"/>
          <a:r>
            <a:rPr lang="pt-BR" sz="2800" b="1" baseline="0">
              <a:solidFill>
                <a:schemeClr val="bg1"/>
              </a:solidFill>
              <a:latin typeface="Georgia Pro Cond Semibold" panose="02040706050405020303" pitchFamily="18" charset="0"/>
            </a:rPr>
            <a:t> (FII)</a:t>
          </a:r>
          <a:endParaRPr lang="pt-BR" sz="2800" b="1">
            <a:solidFill>
              <a:schemeClr val="bg1"/>
            </a:solidFill>
            <a:latin typeface="Georgia Pro Cond Semibold" panose="02040706050405020303" pitchFamily="18" charset="0"/>
          </a:endParaRPr>
        </a:p>
      </xdr:txBody>
    </xdr:sp>
    <xdr:clientData/>
  </xdr:twoCellAnchor>
  <xdr:twoCellAnchor>
    <xdr:from>
      <xdr:col>1</xdr:col>
      <xdr:colOff>35034</xdr:colOff>
      <xdr:row>45</xdr:row>
      <xdr:rowOff>106418</xdr:rowOff>
    </xdr:from>
    <xdr:to>
      <xdr:col>4</xdr:col>
      <xdr:colOff>0</xdr:colOff>
      <xdr:row>67</xdr:row>
      <xdr:rowOff>54741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F0488D2-93D6-DA24-1B1F-A64E35894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0090-4F4C-4653-B46B-CE7F5AD966A2}">
  <dimension ref="A10:H44"/>
  <sheetViews>
    <sheetView showGridLines="0" showRowColHeaders="0" tabSelected="1" zoomScale="90" zoomScaleNormal="90" workbookViewId="0">
      <selection activeCell="A9" sqref="A9"/>
    </sheetView>
  </sheetViews>
  <sheetFormatPr defaultColWidth="0" defaultRowHeight="15" x14ac:dyDescent="0.25"/>
  <cols>
    <col min="1" max="1" width="10.5703125" customWidth="1"/>
    <col min="2" max="2" width="46.28515625" customWidth="1"/>
    <col min="3" max="3" width="50" customWidth="1"/>
    <col min="4" max="4" width="24.140625" customWidth="1"/>
    <col min="5" max="5" width="30.28515625" customWidth="1"/>
    <col min="6" max="6" width="15" hidden="1" customWidth="1"/>
    <col min="7" max="8" width="9.140625" hidden="1" customWidth="1"/>
    <col min="9" max="16384" width="9.140625" hidden="1"/>
  </cols>
  <sheetData>
    <row r="10" spans="2:8" x14ac:dyDescent="0.25">
      <c r="H10" s="7"/>
    </row>
    <row r="11" spans="2:8" x14ac:dyDescent="0.25">
      <c r="H11" s="7"/>
    </row>
    <row r="12" spans="2:8" ht="13.5" customHeight="1" thickBot="1" x14ac:dyDescent="0.3"/>
    <row r="13" spans="2:8" ht="30.75" customHeight="1" x14ac:dyDescent="0.25">
      <c r="B13" s="46" t="s">
        <v>13</v>
      </c>
      <c r="C13" s="47"/>
      <c r="D13" s="48"/>
    </row>
    <row r="14" spans="2:8" ht="18.75" x14ac:dyDescent="0.3">
      <c r="B14" s="37" t="s">
        <v>14</v>
      </c>
      <c r="C14" s="38"/>
      <c r="D14" s="30">
        <v>10000</v>
      </c>
    </row>
    <row r="15" spans="2:8" ht="18.75" x14ac:dyDescent="0.3">
      <c r="B15" s="37" t="s">
        <v>15</v>
      </c>
      <c r="C15" s="38"/>
      <c r="D15" s="32">
        <v>9.7999999999999997E-3</v>
      </c>
    </row>
    <row r="16" spans="2:8" ht="19.5" thickBot="1" x14ac:dyDescent="0.35">
      <c r="B16" s="49" t="s">
        <v>16</v>
      </c>
      <c r="C16" s="50"/>
      <c r="D16" s="33">
        <f>D14*30%</f>
        <v>3000</v>
      </c>
    </row>
    <row r="17" spans="2:4" ht="15.75" thickBot="1" x14ac:dyDescent="0.3"/>
    <row r="18" spans="2:4" ht="41.25" customHeight="1" x14ac:dyDescent="0.25">
      <c r="B18" s="43" t="s">
        <v>0</v>
      </c>
      <c r="C18" s="44"/>
      <c r="D18" s="45"/>
    </row>
    <row r="19" spans="2:4" ht="18.75" x14ac:dyDescent="0.3">
      <c r="B19" s="37" t="s">
        <v>2</v>
      </c>
      <c r="C19" s="38"/>
      <c r="D19" s="30">
        <v>2000</v>
      </c>
    </row>
    <row r="20" spans="2:4" ht="18.75" x14ac:dyDescent="0.3">
      <c r="B20" s="37" t="s">
        <v>1</v>
      </c>
      <c r="C20" s="38"/>
      <c r="D20" s="31">
        <v>10</v>
      </c>
    </row>
    <row r="21" spans="2:4" ht="18.75" x14ac:dyDescent="0.3">
      <c r="B21" s="37" t="s">
        <v>3</v>
      </c>
      <c r="C21" s="38"/>
      <c r="D21" s="34">
        <f>rendimento_carteira</f>
        <v>9.7999999999999997E-3</v>
      </c>
    </row>
    <row r="22" spans="2:4" ht="18.75" x14ac:dyDescent="0.3">
      <c r="B22" s="39" t="s">
        <v>4</v>
      </c>
      <c r="C22" s="40"/>
      <c r="D22" s="8">
        <f>FV(rendimento_carteira,qnt_anos*12,aporte*-1)</f>
        <v>453648.71871844935</v>
      </c>
    </row>
    <row r="23" spans="2:4" ht="19.5" thickBot="1" x14ac:dyDescent="0.35">
      <c r="B23" s="41" t="s">
        <v>5</v>
      </c>
      <c r="C23" s="42"/>
      <c r="D23" s="9">
        <f>patrimonio*rendimento_carteira</f>
        <v>4445.7574434408034</v>
      </c>
    </row>
    <row r="24" spans="2:4" ht="20.25" customHeight="1" thickBot="1" x14ac:dyDescent="0.3"/>
    <row r="25" spans="2:4" ht="38.25" customHeight="1" x14ac:dyDescent="0.25">
      <c r="B25" s="35" t="s">
        <v>6</v>
      </c>
      <c r="C25" s="36"/>
      <c r="D25" s="1" t="s">
        <v>12</v>
      </c>
    </row>
    <row r="26" spans="2:4" ht="18.75" x14ac:dyDescent="0.3">
      <c r="B26" s="12" t="s">
        <v>7</v>
      </c>
      <c r="C26" s="2">
        <f>FV($D$21,2*12,$D$19*-1)</f>
        <v>53819.181178117302</v>
      </c>
      <c r="D26" s="3">
        <f>C26*rendimento_carteira</f>
        <v>527.42797554554954</v>
      </c>
    </row>
    <row r="27" spans="2:4" ht="18.75" x14ac:dyDescent="0.3">
      <c r="B27" s="10" t="s">
        <v>8</v>
      </c>
      <c r="C27" s="4">
        <f>FV($D$21,5*12,$D$19*-1)</f>
        <v>162293.42647811049</v>
      </c>
      <c r="D27" s="3">
        <f>C27*rendimento_carteira</f>
        <v>1590.4755794854827</v>
      </c>
    </row>
    <row r="28" spans="2:4" ht="18.75" x14ac:dyDescent="0.3">
      <c r="B28" s="10" t="s">
        <v>9</v>
      </c>
      <c r="C28" s="4">
        <f>FV($D$21,10*12,$D$19*-1)</f>
        <v>453648.71871844935</v>
      </c>
      <c r="D28" s="3">
        <f>C28*rendimento_carteira</f>
        <v>4445.7574434408034</v>
      </c>
    </row>
    <row r="29" spans="2:4" ht="18.75" x14ac:dyDescent="0.3">
      <c r="B29" s="10" t="s">
        <v>10</v>
      </c>
      <c r="C29" s="4">
        <f>FV($D$21,20*12,$D$19*-1)</f>
        <v>1915703.5214118636</v>
      </c>
      <c r="D29" s="3">
        <f>C29*rendimento_carteira</f>
        <v>18773.894509836264</v>
      </c>
    </row>
    <row r="30" spans="2:4" ht="19.5" thickBot="1" x14ac:dyDescent="0.35">
      <c r="B30" s="11" t="s">
        <v>11</v>
      </c>
      <c r="C30" s="5">
        <f>FV($D$21,30*12,$D$19*-1)</f>
        <v>6627728.8350015897</v>
      </c>
      <c r="D30" s="6">
        <f>C30*rendimento_carteira</f>
        <v>64951.742583015577</v>
      </c>
    </row>
    <row r="33" spans="2:4" ht="21" x14ac:dyDescent="0.35">
      <c r="B33" s="19" t="s">
        <v>17</v>
      </c>
      <c r="C33" s="20" t="s">
        <v>18</v>
      </c>
      <c r="D33" s="17"/>
    </row>
    <row r="34" spans="2:4" ht="18.75" x14ac:dyDescent="0.3">
      <c r="B34" s="15" t="s">
        <v>19</v>
      </c>
      <c r="C34" s="18">
        <f>aporte</f>
        <v>2000</v>
      </c>
      <c r="D34" s="16"/>
    </row>
    <row r="37" spans="2:4" ht="18.75" x14ac:dyDescent="0.3">
      <c r="B37" s="21" t="s">
        <v>20</v>
      </c>
      <c r="C37" s="21" t="s">
        <v>21</v>
      </c>
      <c r="D37" s="21" t="s">
        <v>22</v>
      </c>
    </row>
    <row r="38" spans="2:4" ht="18.75" x14ac:dyDescent="0.3">
      <c r="B38" s="14" t="s">
        <v>23</v>
      </c>
      <c r="C38" s="23">
        <f>VLOOKUP($C$33&amp;"-"&amp;B38,apoio!$A$3:$D$21,4,)</f>
        <v>0.3</v>
      </c>
      <c r="D38" s="13">
        <f>$C$34*C38</f>
        <v>600</v>
      </c>
    </row>
    <row r="39" spans="2:4" ht="18.75" x14ac:dyDescent="0.3">
      <c r="B39" s="14" t="s">
        <v>24</v>
      </c>
      <c r="C39" s="23">
        <f>VLOOKUP($C$33&amp;"-"&amp;B39,apoio!$A$3:$D$21,4,)</f>
        <v>0.5</v>
      </c>
      <c r="D39" s="13">
        <f t="shared" ref="D39:D43" si="0">$C$34*C39</f>
        <v>1000</v>
      </c>
    </row>
    <row r="40" spans="2:4" ht="18.75" x14ac:dyDescent="0.3">
      <c r="B40" s="14" t="s">
        <v>25</v>
      </c>
      <c r="C40" s="23">
        <f>VLOOKUP($C$33&amp;"-"&amp;B40,apoio!$A$3:$D$21,4,)</f>
        <v>0.1</v>
      </c>
      <c r="D40" s="13">
        <f t="shared" si="0"/>
        <v>200</v>
      </c>
    </row>
    <row r="41" spans="2:4" ht="18.75" x14ac:dyDescent="0.3">
      <c r="B41" s="14" t="s">
        <v>26</v>
      </c>
      <c r="C41" s="23">
        <f>VLOOKUP($C$33&amp;"-"&amp;B41,apoio!$A$3:$D$21,4,)</f>
        <v>0.1</v>
      </c>
      <c r="D41" s="13">
        <f t="shared" si="0"/>
        <v>200</v>
      </c>
    </row>
    <row r="42" spans="2:4" ht="18.75" x14ac:dyDescent="0.3">
      <c r="B42" s="14" t="s">
        <v>27</v>
      </c>
      <c r="C42" s="23">
        <f>VLOOKUP($C$33&amp;"-"&amp;B42,apoio!$A$3:$D$21,4,)</f>
        <v>0</v>
      </c>
      <c r="D42" s="13">
        <f t="shared" si="0"/>
        <v>0</v>
      </c>
    </row>
    <row r="43" spans="2:4" ht="18.75" x14ac:dyDescent="0.3">
      <c r="B43" s="14" t="s">
        <v>28</v>
      </c>
      <c r="C43" s="23">
        <f>VLOOKUP($C$33&amp;"-"&amp;B43,apoio!$A$3:$D$21,4,)</f>
        <v>0</v>
      </c>
      <c r="D43" s="13">
        <f t="shared" si="0"/>
        <v>0</v>
      </c>
    </row>
    <row r="44" spans="2:4" x14ac:dyDescent="0.25">
      <c r="B44" s="24"/>
      <c r="C44" s="24"/>
      <c r="D44" s="22">
        <f>SUM(D38:D43)</f>
        <v>2000</v>
      </c>
    </row>
  </sheetData>
  <mergeCells count="11">
    <mergeCell ref="B18:D18"/>
    <mergeCell ref="B13:D13"/>
    <mergeCell ref="B14:C14"/>
    <mergeCell ref="B15:C15"/>
    <mergeCell ref="B16:C16"/>
    <mergeCell ref="B25:C25"/>
    <mergeCell ref="B19:C19"/>
    <mergeCell ref="B20:C20"/>
    <mergeCell ref="B21:C21"/>
    <mergeCell ref="B22:C22"/>
    <mergeCell ref="B23:C23"/>
  </mergeCells>
  <dataValidations count="1">
    <dataValidation type="list" allowBlank="1" showInputMessage="1" showErrorMessage="1" errorTitle="PERFIL INEXISTENTE" error="Por gentileza, selecione um perfil válido" promptTitle="SELECIONE " prompt="O tipo de perfil de investidor " sqref="C33" xr:uid="{BC29F235-8586-46CC-A12C-A74397B4B01F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7572-1D1D-440F-B954-663E3627504C}">
  <dimension ref="A3:D21"/>
  <sheetViews>
    <sheetView workbookViewId="0">
      <selection activeCell="D4" sqref="D4:D9"/>
    </sheetView>
  </sheetViews>
  <sheetFormatPr defaultRowHeight="15" x14ac:dyDescent="0.25"/>
  <cols>
    <col min="1" max="1" width="28.42578125" bestFit="1" customWidth="1"/>
    <col min="2" max="2" width="12.140625" bestFit="1" customWidth="1"/>
    <col min="3" max="3" width="16.140625" bestFit="1" customWidth="1"/>
    <col min="4" max="4" width="12.140625" bestFit="1" customWidth="1"/>
  </cols>
  <sheetData>
    <row r="3" spans="1:4" x14ac:dyDescent="0.25">
      <c r="A3" s="29" t="s">
        <v>37</v>
      </c>
      <c r="B3" s="29" t="s">
        <v>29</v>
      </c>
      <c r="C3" s="29" t="s">
        <v>20</v>
      </c>
      <c r="D3" s="29" t="s">
        <v>30</v>
      </c>
    </row>
    <row r="4" spans="1:4" x14ac:dyDescent="0.25">
      <c r="A4" s="25" t="s">
        <v>31</v>
      </c>
      <c r="B4" s="25" t="s">
        <v>18</v>
      </c>
      <c r="C4" s="25" t="s">
        <v>23</v>
      </c>
      <c r="D4" s="27">
        <v>0.3</v>
      </c>
    </row>
    <row r="5" spans="1:4" x14ac:dyDescent="0.25">
      <c r="A5" s="25" t="s">
        <v>32</v>
      </c>
      <c r="B5" s="25" t="s">
        <v>18</v>
      </c>
      <c r="C5" s="25" t="s">
        <v>24</v>
      </c>
      <c r="D5" s="27">
        <v>0.5</v>
      </c>
    </row>
    <row r="6" spans="1:4" x14ac:dyDescent="0.25">
      <c r="A6" s="25" t="s">
        <v>33</v>
      </c>
      <c r="B6" s="25" t="s">
        <v>18</v>
      </c>
      <c r="C6" s="25" t="s">
        <v>25</v>
      </c>
      <c r="D6" s="27">
        <v>0.1</v>
      </c>
    </row>
    <row r="7" spans="1:4" x14ac:dyDescent="0.25">
      <c r="A7" s="25" t="s">
        <v>34</v>
      </c>
      <c r="B7" s="25" t="s">
        <v>18</v>
      </c>
      <c r="C7" s="25" t="s">
        <v>26</v>
      </c>
      <c r="D7" s="27">
        <v>0.1</v>
      </c>
    </row>
    <row r="8" spans="1:4" x14ac:dyDescent="0.25">
      <c r="A8" s="25" t="s">
        <v>35</v>
      </c>
      <c r="B8" s="25" t="s">
        <v>18</v>
      </c>
      <c r="C8" s="25" t="s">
        <v>27</v>
      </c>
      <c r="D8" s="27">
        <v>0</v>
      </c>
    </row>
    <row r="9" spans="1:4" x14ac:dyDescent="0.25">
      <c r="A9" s="26" t="s">
        <v>36</v>
      </c>
      <c r="B9" s="26" t="s">
        <v>18</v>
      </c>
      <c r="C9" s="26" t="s">
        <v>28</v>
      </c>
      <c r="D9" s="28">
        <v>0</v>
      </c>
    </row>
    <row r="10" spans="1:4" x14ac:dyDescent="0.25">
      <c r="A10" s="25" t="s">
        <v>39</v>
      </c>
      <c r="B10" s="25" t="s">
        <v>38</v>
      </c>
      <c r="C10" s="25" t="s">
        <v>23</v>
      </c>
      <c r="D10" s="27">
        <v>0.32</v>
      </c>
    </row>
    <row r="11" spans="1:4" x14ac:dyDescent="0.25">
      <c r="A11" s="25" t="s">
        <v>40</v>
      </c>
      <c r="B11" s="25" t="s">
        <v>38</v>
      </c>
      <c r="C11" s="25" t="s">
        <v>24</v>
      </c>
      <c r="D11" s="27">
        <v>0.4</v>
      </c>
    </row>
    <row r="12" spans="1:4" x14ac:dyDescent="0.25">
      <c r="A12" s="25" t="s">
        <v>41</v>
      </c>
      <c r="B12" s="25" t="s">
        <v>38</v>
      </c>
      <c r="C12" s="25" t="s">
        <v>25</v>
      </c>
      <c r="D12" s="27">
        <v>0.08</v>
      </c>
    </row>
    <row r="13" spans="1:4" x14ac:dyDescent="0.25">
      <c r="A13" s="25" t="s">
        <v>42</v>
      </c>
      <c r="B13" s="25" t="s">
        <v>38</v>
      </c>
      <c r="C13" s="25" t="s">
        <v>26</v>
      </c>
      <c r="D13" s="27">
        <v>0.1</v>
      </c>
    </row>
    <row r="14" spans="1:4" x14ac:dyDescent="0.25">
      <c r="A14" s="25" t="s">
        <v>43</v>
      </c>
      <c r="B14" s="25" t="s">
        <v>38</v>
      </c>
      <c r="C14" s="25" t="s">
        <v>27</v>
      </c>
      <c r="D14" s="27">
        <v>0.05</v>
      </c>
    </row>
    <row r="15" spans="1:4" x14ac:dyDescent="0.25">
      <c r="A15" s="26" t="s">
        <v>44</v>
      </c>
      <c r="B15" s="26" t="s">
        <v>38</v>
      </c>
      <c r="C15" s="26" t="s">
        <v>28</v>
      </c>
      <c r="D15" s="28">
        <v>0.05</v>
      </c>
    </row>
    <row r="16" spans="1:4" x14ac:dyDescent="0.25">
      <c r="A16" s="25" t="s">
        <v>46</v>
      </c>
      <c r="B16" s="25" t="s">
        <v>45</v>
      </c>
      <c r="C16" s="25" t="s">
        <v>23</v>
      </c>
      <c r="D16" s="27">
        <v>0.5</v>
      </c>
    </row>
    <row r="17" spans="1:4" x14ac:dyDescent="0.25">
      <c r="A17" s="25" t="s">
        <v>47</v>
      </c>
      <c r="B17" s="25" t="s">
        <v>45</v>
      </c>
      <c r="C17" s="25" t="s">
        <v>24</v>
      </c>
      <c r="D17" s="27">
        <v>0.1</v>
      </c>
    </row>
    <row r="18" spans="1:4" x14ac:dyDescent="0.25">
      <c r="A18" s="25" t="s">
        <v>48</v>
      </c>
      <c r="B18" s="25" t="s">
        <v>45</v>
      </c>
      <c r="C18" s="25" t="s">
        <v>25</v>
      </c>
      <c r="D18" s="27">
        <v>0.05</v>
      </c>
    </row>
    <row r="19" spans="1:4" x14ac:dyDescent="0.25">
      <c r="A19" s="25" t="s">
        <v>49</v>
      </c>
      <c r="B19" s="25" t="s">
        <v>45</v>
      </c>
      <c r="C19" s="25" t="s">
        <v>26</v>
      </c>
      <c r="D19" s="27">
        <v>0.05</v>
      </c>
    </row>
    <row r="20" spans="1:4" x14ac:dyDescent="0.25">
      <c r="A20" s="25" t="s">
        <v>50</v>
      </c>
      <c r="B20" s="25" t="s">
        <v>45</v>
      </c>
      <c r="C20" s="25" t="s">
        <v>27</v>
      </c>
      <c r="D20" s="27">
        <v>0.2</v>
      </c>
    </row>
    <row r="21" spans="1:4" x14ac:dyDescent="0.25">
      <c r="A21" s="25" t="s">
        <v>51</v>
      </c>
      <c r="B21" s="25" t="s">
        <v>45</v>
      </c>
      <c r="C21" s="25" t="s">
        <v>28</v>
      </c>
      <c r="D21" s="2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11</vt:i4>
      </vt:variant>
    </vt:vector>
  </HeadingPairs>
  <TitlesOfParts>
    <vt:vector size="13" baseType="lpstr">
      <vt:lpstr>simulador</vt:lpstr>
      <vt:lpstr>apoio</vt:lpstr>
      <vt:lpstr>aporte</vt:lpstr>
      <vt:lpstr>CENÁRIOS</vt:lpstr>
      <vt:lpstr>CONFIGURAÇÕES</vt:lpstr>
      <vt:lpstr>INVESTIMENTO_MENSAL</vt:lpstr>
      <vt:lpstr>patrimonio</vt:lpstr>
      <vt:lpstr>PERFIL_DE_INVESTIDOR</vt:lpstr>
      <vt:lpstr>qnt_anos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bsstefhany@gmail.com</dc:creator>
  <cp:lastModifiedBy>bsstefhany@gmail.com</cp:lastModifiedBy>
  <dcterms:created xsi:type="dcterms:W3CDTF">2026-10-12T14:19:57Z</dcterms:created>
  <dcterms:modified xsi:type="dcterms:W3CDTF">2026-10-12T18:46:14Z</dcterms:modified>
</cp:coreProperties>
</file>